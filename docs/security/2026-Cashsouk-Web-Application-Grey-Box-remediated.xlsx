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0240" windowHeight="17760" tabRatio="600" firstSheet="0" activeTab="0" autoFilterDateGrouping="1"/>
  </bookViews>
  <sheets>
    <sheet name="Summary" sheetId="1" state="visible" r:id="rId1"/>
    <sheet name="Items" sheetId="2" state="visible" r:id="rId2"/>
    <sheet name="Glossary" sheetId="3" state="visible" r:id="rId3"/>
  </sheets>
  <definedNames>
    <definedName name="_xlnm._FilterDatabase" localSheetId="1" hidden="1">'Items'!$A$1:$L$1</definedName>
  </definedNames>
  <calcPr calcId="191028" calcMode="auto" fullCalcOnLoad="1" refMode="R1C1" forceFullCalc="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Calibri"/>
      <family val="2"/>
      <b val="1"/>
      <color theme="1"/>
      <sz val="12"/>
      <scheme val="minor"/>
    </font>
    <font>
      <name val="Calibri"/>
      <family val="2"/>
      <color theme="1"/>
      <sz val="12"/>
      <scheme val="minor"/>
    </font>
    <font>
      <name val="Calibri"/>
      <family val="2"/>
      <b val="1"/>
      <color theme="1"/>
      <sz val="14"/>
      <scheme val="minor"/>
    </font>
    <font>
      <name val="Calibri"/>
      <family val="2"/>
      <i val="1"/>
      <color theme="1"/>
      <sz val="11"/>
      <scheme val="minor"/>
    </font>
    <font>
      <color rgb="00006100"/>
    </font>
    <font>
      <color rgb="009C5700"/>
    </font>
  </fonts>
  <fills count="6">
    <fill>
      <patternFill/>
    </fill>
    <fill>
      <patternFill patternType="gray125"/>
    </fill>
    <fill>
      <patternFill patternType="solid">
        <fgColor theme="0" tint="-0.249977111117893"/>
        <bgColor indexed="64"/>
      </patternFill>
    </fill>
    <fill>
      <patternFill patternType="solid">
        <fgColor theme="2"/>
        <bgColor indexed="64"/>
      </patternFill>
    </fill>
    <fill>
      <patternFill patternType="solid">
        <fgColor rgb="00C6EFCE"/>
      </patternFill>
    </fill>
    <fill>
      <patternFill patternType="solid">
        <fgColor rgb="00FFEB9C"/>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pivotButton="0" quotePrefix="0" xfId="0"/>
    <xf numFmtId="0" fontId="2" fillId="0" borderId="0" pivotButton="0" quotePrefix="0" xfId="0"/>
    <xf numFmtId="0" fontId="3" fillId="0" borderId="0" pivotButton="0" quotePrefix="0" xfId="0"/>
    <xf numFmtId="0" fontId="3" fillId="0" borderId="1" pivotButton="0" quotePrefix="0" xfId="0"/>
    <xf numFmtId="0" fontId="1" fillId="0" borderId="0" pivotButton="0" quotePrefix="0" xfId="0"/>
    <xf numFmtId="0" fontId="0" fillId="0" borderId="1" applyAlignment="1" pivotButton="0" quotePrefix="0" xfId="0">
      <alignment vertical="center" wrapText="1"/>
    </xf>
    <xf numFmtId="0" fontId="4" fillId="2" borderId="1" applyAlignment="1" pivotButton="0" quotePrefix="0" xfId="0">
      <alignment horizontal="left" vertical="top" wrapText="1"/>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5" fillId="0" borderId="1" applyAlignment="1" pivotButton="0" quotePrefix="1" xfId="0">
      <alignment horizontal="left" vertical="top" wrapText="1"/>
    </xf>
    <xf numFmtId="0" fontId="5" fillId="0" borderId="1" applyAlignment="1" pivotButton="0" quotePrefix="1" xfId="0">
      <alignment vertical="top" wrapText="1"/>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0" fillId="0" borderId="1" pivotButton="0" quotePrefix="0" xfId="0"/>
    <xf numFmtId="49" fontId="0" fillId="0" borderId="1" applyAlignment="1" pivotButton="0" quotePrefix="1" xfId="0">
      <alignment vertical="top" wrapText="1"/>
    </xf>
    <xf numFmtId="49" fontId="4" fillId="2" borderId="1" applyAlignment="1" pivotButton="0" quotePrefix="0" xfId="0">
      <alignment horizontal="left" vertical="top" wrapText="1"/>
    </xf>
    <xf numFmtId="49" fontId="0" fillId="0" borderId="0" pivotButton="0" quotePrefix="0" xfId="0"/>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2" fillId="3" borderId="1" pivotButton="0" quotePrefix="0" xfId="0"/>
    <xf numFmtId="0" fontId="3" fillId="3" borderId="1" pivotButton="0" quotePrefix="0" xfId="0"/>
    <xf numFmtId="0" fontId="0" fillId="0" borderId="0" applyAlignment="1" pivotButton="0" quotePrefix="0" xfId="0">
      <alignment horizontal="center" vertical="center"/>
    </xf>
    <xf numFmtId="0" fontId="0" fillId="0" borderId="1" applyAlignment="1" pivotButton="0" quotePrefix="1" xfId="0">
      <alignment horizontal="left" vertical="top" wrapText="1"/>
    </xf>
    <xf numFmtId="0" fontId="0" fillId="0" borderId="0" applyAlignment="1" pivotButton="0" quotePrefix="1" xfId="0">
      <alignment horizontal="left" vertical="top" wrapText="1"/>
    </xf>
    <xf numFmtId="0" fontId="0" fillId="0" borderId="0" applyAlignment="1" pivotButton="0" quotePrefix="0" xfId="0">
      <alignment horizontal="left" vertical="top" wrapText="1"/>
    </xf>
    <xf numFmtId="49" fontId="0" fillId="0" borderId="0" applyAlignment="1" pivotButton="0" quotePrefix="1" xfId="0">
      <alignment vertical="top" wrapText="1"/>
    </xf>
    <xf numFmtId="0" fontId="0" fillId="0" borderId="1" applyAlignment="1" pivotButton="0" quotePrefix="1" xfId="0">
      <alignment horizontal="left" vertical="top" wrapText="1"/>
    </xf>
    <xf numFmtId="0" fontId="5" fillId="0" borderId="0" applyAlignment="1" pivotButton="0" quotePrefix="0" xfId="0">
      <alignment vertical="top" wrapText="1"/>
    </xf>
    <xf numFmtId="0" fontId="6" fillId="4" borderId="1" applyAlignment="1" pivotButton="0" quotePrefix="0" xfId="0">
      <alignment horizontal="center" vertical="center" wrapText="1"/>
    </xf>
    <xf numFmtId="0" fontId="0" fillId="0" borderId="1" applyAlignment="1" pivotButton="0" quotePrefix="0" xfId="0">
      <alignment vertical="top" wrapText="1"/>
    </xf>
    <xf numFmtId="0" fontId="7" fillId="5" borderId="1" applyAlignment="1" pivotButton="0" quotePrefix="0" xfId="0">
      <alignment horizontal="center" vertical="center" wrapText="1"/>
    </xf>
  </cellXfs>
  <cellStyles count="1">
    <cellStyle name="Normal" xfId="0" builtinId="0"/>
  </cellStyles>
  <dxfs count="16">
    <dxf>
      <font>
        <b val="1"/>
      </font>
      <fill>
        <patternFill>
          <bgColor rgb="FF00B0F0"/>
        </patternFill>
      </fill>
    </dxf>
    <dxf>
      <font>
        <b val="1"/>
      </font>
      <fill>
        <patternFill>
          <bgColor rgb="FF92D050"/>
        </patternFill>
      </fill>
    </dxf>
    <dxf>
      <font>
        <b val="1"/>
      </font>
      <fill>
        <patternFill>
          <bgColor rgb="FFD00000"/>
        </patternFill>
      </fill>
    </dxf>
    <dxf>
      <font>
        <b val="1"/>
      </font>
      <fill>
        <patternFill>
          <bgColor rgb="FF00B0F0"/>
        </patternFill>
      </fill>
    </dxf>
    <dxf>
      <font>
        <b val="1"/>
      </font>
      <fill>
        <patternFill>
          <bgColor rgb="FF92D050"/>
        </patternFill>
      </fill>
    </dxf>
    <dxf>
      <font>
        <b val="1"/>
      </font>
      <fill>
        <patternFill>
          <bgColor rgb="FFFFC000"/>
        </patternFill>
      </fill>
    </dxf>
    <dxf>
      <font>
        <b val="1"/>
      </font>
      <fill>
        <patternFill>
          <bgColor rgb="FFF34445"/>
        </patternFill>
      </fill>
    </dxf>
    <dxf>
      <font>
        <b val="1"/>
      </font>
      <fill>
        <patternFill>
          <bgColor rgb="FFC00000"/>
        </patternFill>
      </fill>
    </dxf>
    <dxf>
      <font>
        <b val="1"/>
      </font>
      <fill>
        <patternFill>
          <bgColor rgb="FF00B0F0"/>
        </patternFill>
      </fill>
    </dxf>
    <dxf>
      <font>
        <b val="1"/>
      </font>
      <fill>
        <patternFill>
          <bgColor rgb="FF92D050"/>
        </patternFill>
      </fill>
    </dxf>
    <dxf>
      <font>
        <b val="1"/>
      </font>
      <fill>
        <patternFill>
          <bgColor rgb="FFD00000"/>
        </patternFill>
      </fill>
    </dxf>
    <dxf>
      <font>
        <b val="1"/>
      </font>
      <fill>
        <patternFill>
          <bgColor rgb="FF00B0F0"/>
        </patternFill>
      </fill>
    </dxf>
    <dxf>
      <font>
        <b val="1"/>
      </font>
      <fill>
        <patternFill>
          <bgColor rgb="FF92D050"/>
        </patternFill>
      </fill>
    </dxf>
    <dxf>
      <font>
        <b val="1"/>
      </font>
      <fill>
        <patternFill>
          <bgColor rgb="FFFFC000"/>
        </patternFill>
      </fill>
    </dxf>
    <dxf>
      <font>
        <b val="1"/>
      </font>
      <fill>
        <patternFill>
          <bgColor rgb="FFF34445"/>
        </patternFill>
      </fill>
    </dxf>
    <dxf>
      <font>
        <b val="1"/>
      </font>
      <fill>
        <patternFill>
          <bgColor rgb="FFC0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13"/>
  <sheetViews>
    <sheetView tabSelected="1" workbookViewId="0">
      <selection activeCell="D10" sqref="D10"/>
    </sheetView>
  </sheetViews>
  <sheetFormatPr baseColWidth="10" defaultColWidth="8.83203125" defaultRowHeight="15"/>
  <cols>
    <col width="11.5" customWidth="1" min="1" max="1"/>
    <col width="25.33203125" bestFit="1" customWidth="1" min="4" max="4"/>
  </cols>
  <sheetData>
    <row r="1" ht="16" customHeight="1">
      <c r="A1" s="1" t="inlineStr">
        <is>
          <t>Summary Findings (Items)</t>
        </is>
      </c>
      <c r="B1" s="2" t="n"/>
      <c r="C1" s="2" t="n"/>
      <c r="D1" s="2" t="n"/>
      <c r="E1" s="2" t="n"/>
    </row>
    <row r="2" ht="16" customHeight="1">
      <c r="A2" s="1" t="n"/>
      <c r="B2" s="2" t="n"/>
      <c r="C2" s="2" t="n"/>
      <c r="D2" s="2" t="n"/>
      <c r="E2" s="2" t="n"/>
    </row>
    <row r="3" ht="16" customHeight="1">
      <c r="A3" s="19" t="inlineStr">
        <is>
          <t>Severity</t>
        </is>
      </c>
      <c r="B3" s="20" t="n"/>
      <c r="C3" s="2" t="n"/>
      <c r="D3" s="19" t="inlineStr">
        <is>
          <t>Resolution</t>
        </is>
      </c>
      <c r="E3" s="20" t="n"/>
    </row>
    <row r="4" ht="16" customHeight="1">
      <c r="A4" s="7" t="inlineStr">
        <is>
          <t>Critical</t>
        </is>
      </c>
      <c r="B4" s="3">
        <f>COUNTIF(Items!J:J,A4)</f>
        <v/>
      </c>
      <c r="C4" s="2" t="n"/>
      <c r="D4" s="8" t="inlineStr">
        <is>
          <t>Closed (Solved)</t>
        </is>
      </c>
      <c r="E4" s="3">
        <f>COUNTIF(Items!K:K,D4)</f>
        <v/>
      </c>
    </row>
    <row r="5" ht="16" customHeight="1">
      <c r="A5" s="7" t="inlineStr">
        <is>
          <t>High</t>
        </is>
      </c>
      <c r="B5" s="3">
        <f>COUNTIF(Items!J:J,A5)</f>
        <v/>
      </c>
      <c r="C5" s="2" t="n"/>
      <c r="D5" s="8" t="inlineStr">
        <is>
          <t>Closed (Justified)</t>
        </is>
      </c>
      <c r="E5" s="3">
        <f>COUNTIF(Items!K:K,D5)</f>
        <v/>
      </c>
    </row>
    <row r="6" ht="16" customHeight="1">
      <c r="A6" s="7" t="inlineStr">
        <is>
          <t>Medium</t>
        </is>
      </c>
      <c r="B6" s="3">
        <f>COUNTIF(Items!J:J,A6)</f>
        <v/>
      </c>
      <c r="C6" s="2" t="n"/>
      <c r="D6" s="8" t="inlineStr">
        <is>
          <t>Open (Not Solved)</t>
        </is>
      </c>
      <c r="E6" s="3">
        <f>COUNTIF(Items!K:K,D6)</f>
        <v/>
      </c>
    </row>
    <row r="7" ht="16" customHeight="1">
      <c r="A7" s="7" t="inlineStr">
        <is>
          <t>Low</t>
        </is>
      </c>
      <c r="B7" s="3">
        <f>COUNTIF(Items!J:J,A7)</f>
        <v/>
      </c>
      <c r="C7" s="2" t="n"/>
      <c r="D7" s="13" t="inlineStr">
        <is>
          <t>Total</t>
        </is>
      </c>
      <c r="E7" s="3">
        <f>SUM(E4:E6)</f>
        <v/>
      </c>
    </row>
    <row r="8" ht="16" customHeight="1">
      <c r="A8" s="7" t="inlineStr">
        <is>
          <t>Info</t>
        </is>
      </c>
      <c r="B8" s="3">
        <f>COUNTIF(Items!J:J,A8)</f>
        <v/>
      </c>
      <c r="C8" s="2" t="n"/>
    </row>
    <row r="9" ht="16" customHeight="1">
      <c r="A9" s="7" t="inlineStr">
        <is>
          <t>Total</t>
        </is>
      </c>
      <c r="B9" s="3">
        <f>SUM(B4:B8)</f>
        <v/>
      </c>
      <c r="C9" s="2" t="n"/>
      <c r="D9" s="2" t="n"/>
      <c r="E9" s="2" t="n"/>
    </row>
    <row r="10" ht="16" customHeight="1">
      <c r="A10" s="2" t="n"/>
      <c r="B10" s="2" t="n"/>
      <c r="C10" s="2" t="n"/>
    </row>
    <row r="11" ht="16" customHeight="1">
      <c r="A11" s="2" t="n"/>
      <c r="B11" s="2" t="n"/>
      <c r="C11" s="2" t="n"/>
    </row>
    <row r="12" ht="16" customHeight="1">
      <c r="C12" s="2" t="n"/>
    </row>
    <row r="13" ht="16" customHeight="1">
      <c r="C13" s="2" t="n"/>
    </row>
  </sheetData>
  <conditionalFormatting sqref="A4:A9">
    <cfRule type="cellIs" priority="4" operator="equal" dxfId="7">
      <formula>"Critical"</formula>
    </cfRule>
    <cfRule type="cellIs" priority="5" operator="equal" dxfId="6">
      <formula>"High"</formula>
    </cfRule>
    <cfRule type="cellIs" priority="6" operator="equal" dxfId="5">
      <formula>"Medium"</formula>
    </cfRule>
    <cfRule type="cellIs" priority="7" operator="equal" dxfId="1">
      <formula>"Low"</formula>
    </cfRule>
    <cfRule type="cellIs" priority="8" operator="equal" dxfId="0">
      <formula>"Info"</formula>
    </cfRule>
  </conditionalFormatting>
  <conditionalFormatting sqref="D4:D6">
    <cfRule type="cellIs" priority="1" operator="equal" dxfId="2">
      <formula>"Open (Not Solved)"</formula>
    </cfRule>
    <cfRule type="cellIs" priority="2" operator="equal" dxfId="1">
      <formula>"Closed (Solved)"</formula>
    </cfRule>
    <cfRule type="cellIs" priority="3" operator="equal" dxfId="0">
      <formula>"Closed (Justified)"</formula>
    </cfRule>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L12"/>
  <sheetViews>
    <sheetView zoomScale="75" zoomScaleNormal="70" workbookViewId="0">
      <selection activeCell="G2" sqref="G2"/>
    </sheetView>
  </sheetViews>
  <sheetFormatPr baseColWidth="10" defaultColWidth="8.83203125" defaultRowHeight="15"/>
  <cols>
    <col width="6.33203125" customWidth="1" min="1" max="1"/>
    <col width="17.6640625" bestFit="1" customWidth="1" min="2" max="2"/>
    <col width="30.6640625" customWidth="1" min="3" max="3"/>
    <col width="47.6640625" customWidth="1" min="4" max="4"/>
    <col width="31.1640625" customWidth="1" style="16" min="5" max="5"/>
    <col width="30.6640625" customWidth="1" min="6" max="7"/>
    <col width="11.83203125" bestFit="1" customWidth="1" style="21" min="8" max="8"/>
    <col width="20.1640625" customWidth="1" style="21" min="9" max="9"/>
    <col width="10.5" bestFit="1" customWidth="1" style="21" min="10" max="10"/>
    <col width="22" bestFit="1" customWidth="1" style="21" min="11" max="11"/>
    <col width="95" customWidth="1" min="12" max="12"/>
  </cols>
  <sheetData>
    <row r="1" ht="40" customHeight="1">
      <c r="A1" s="6" t="inlineStr">
        <is>
          <t>Item No</t>
        </is>
      </c>
      <c r="B1" s="6" t="inlineStr">
        <is>
          <t>Findings Name</t>
        </is>
      </c>
      <c r="C1" s="6" t="inlineStr">
        <is>
          <t>Findings Definition</t>
        </is>
      </c>
      <c r="D1" s="6" t="inlineStr">
        <is>
          <t>Findings Observation</t>
        </is>
      </c>
      <c r="E1" s="15" t="inlineStr">
        <is>
          <t>Affected URL</t>
        </is>
      </c>
      <c r="F1" s="6" t="inlineStr">
        <is>
          <t>Remediation</t>
        </is>
      </c>
      <c r="G1" s="6" t="inlineStr">
        <is>
          <t>Reference</t>
        </is>
      </c>
      <c r="H1" s="6" t="inlineStr">
        <is>
          <t>CVSS v3.1 Score</t>
        </is>
      </c>
      <c r="I1" s="6" t="inlineStr">
        <is>
          <t>CVSS v3.1 Vector</t>
        </is>
      </c>
      <c r="J1" s="6" t="inlineStr">
        <is>
          <t>Severity</t>
        </is>
      </c>
      <c r="K1" s="6" t="inlineStr">
        <is>
          <t>Resolution</t>
        </is>
      </c>
      <c r="L1" s="6" t="inlineStr">
        <is>
          <t>Remark</t>
        </is>
      </c>
    </row>
    <row r="2" ht="335" customHeight="1">
      <c r="A2" s="7">
        <f>ROW()-1</f>
        <v/>
      </c>
      <c r="B2" s="8" t="inlineStr">
        <is>
          <t>Using Components with Known Vulnerabilities</t>
        </is>
      </c>
      <c r="C2" s="8" t="inlineStr">
        <is>
          <t>Cyber threats could be occurred due to the software dependencies like using components such as libraries and frameworks which are previously known to be vulnerable or which become vulnerable later on due to unpatched software fixes or updates not implemented on time.
Making use of known vulnerability can leads to a more serious risk to the business especially because of its ease of exploitability. If the attacker is able to find out the vulnerable components which a particular application is using, it can be easily exploited since the exploit methods are publicly accessible and the attacker simply has to make use of it and can cause a minimal impact, or serious or even complete data compromise ,or also lead to server/host takeover for organizations.</t>
        </is>
      </c>
      <c r="D2" s="8" t="inlineStr">
        <is>
          <t>The Next JS package implemented was known affected by the critical vulnerability.
- Next JS, Critical, CVE-2026-75604</t>
        </is>
      </c>
      <c r="E2" s="23" t="inlineStr">
        <is>
          <t>https://*.cashsouk.com</t>
        </is>
      </c>
      <c r="F2" s="8" t="inlineStr">
        <is>
          <t>Upgrade the Next JS to version 16.3.3.</t>
        </is>
      </c>
      <c r="G2" s="10" t="inlineStr">
        <is>
          <t>https://owasp.org/Top10/A06_2021-Vulnerable_and_Outdated_Components/</t>
        </is>
      </c>
      <c r="H2" s="17" t="n">
        <v>9</v>
      </c>
      <c r="I2" s="17" t="inlineStr">
        <is>
          <t>CVSS:3.1/AV:N/AC:H/PR:N/UI:N/S:C/C:H/I:H/A:H</t>
        </is>
      </c>
      <c r="J2" s="18" t="inlineStr">
        <is>
          <t>Critical</t>
        </is>
      </c>
      <c r="K2" s="28" t="inlineStr">
        <is>
          <t>Closed (Solved)</t>
        </is>
      </c>
      <c r="L2" s="29" t="inlineStr">
        <is>
          <t>21 Sep 2026: Upgraded every Next.js portal (investor, issuer, admin, landing) from 16.2.4 to 16.3.5 with matching eslint-config-next/codemod packages. CVE-2026-75604 is a Windows filesystem-path issue and production runs Linux ECS, but the current 16.3 security release was still applied, including Linux-relevant image-processing fixes. Monorepo typecheck and production builds pass; production deployment and header verification remain QA steps.</t>
        </is>
      </c>
    </row>
    <row r="3" ht="365" customHeight="1">
      <c r="A3" s="7">
        <f>ROW()-1</f>
        <v/>
      </c>
      <c r="B3" s="8" t="inlineStr">
        <is>
          <t>Improper Session Invalidation at the Backend</t>
        </is>
      </c>
      <c r="C3" s="8" t="inlineStr">
        <is>
          <t>The server does not invalidate the user's session on the server side after the user logs out from the account. Hence, this allows the session token still remain active at the server-side and allow to be reused back.</t>
        </is>
      </c>
      <c r="D3" s="8" t="inlineStr">
        <is>
          <t>Even the user logged out from the application, the authorization bearer was observed usable to interact with the backend API.</t>
        </is>
      </c>
      <c r="E3" s="23" t="inlineStr">
        <is>
          <t>https://*.cashsouk.com</t>
        </is>
      </c>
      <c r="F3" s="8" t="inlineStr">
        <is>
          <t xml:space="preserve">Ensure that all session invalidation events are executed on the server side.
</t>
        </is>
      </c>
      <c r="G3" s="27" t="inlineStr">
        <is>
          <t>https://owasp.org/www-project-mobile-top-10/2014-risks/m9-improper-session-handling
https://cheatsheetseries.owasp.org/cheatsheets/Session_Management_Cheat_Sheet.html</t>
        </is>
      </c>
      <c r="H3" s="17" t="n">
        <v>5</v>
      </c>
      <c r="I3" s="17" t="inlineStr">
        <is>
          <t>CVSS:3.1/AV:N/AC:H/PR:L/UI:N/S:U/C:L/I:L/A:L</t>
        </is>
      </c>
      <c r="J3" s="18" t="inlineStr">
        <is>
          <t>Medium</t>
        </is>
      </c>
      <c r="K3" s="28" t="inlineStr">
        <is>
          <t>Closed (Solved)</t>
        </is>
      </c>
      <c r="L3" s="29" t="inlineStr">
        <is>
          <t>21 Sep 2026: Added a PostgreSQL-backed access-token jti denylist with expiry cleanup, enforced by requireAuth. Both logout routes persist access-token revocation before local teardown, perform Cognito global sign-out, explicitly revoke the current browser httpOnly refresh token through Cognito RevokeToken, and clear that refresh cookie only after successful/idempotent revocation. Denylist or Cognito revocation failures fail closed with HTTP 503 and preserve local auth for retry. Password changes compare Cognito auth_time (falling back to iat), so an old refresh token cannot restore API access by minting a JWT with a newer iat. Prisma migration 20260921140000_revoked_access_tokens must run before the new API task is deployed.</t>
        </is>
      </c>
    </row>
    <row r="4" ht="112" customHeight="1">
      <c r="A4" s="7">
        <f>ROW()-1</f>
        <v/>
      </c>
      <c r="B4" s="8" t="inlineStr">
        <is>
          <t>Malicious File Upload</t>
        </is>
      </c>
      <c r="C4" s="8" t="inlineStr">
        <is>
          <t>Vulnerabilities related to the uploading of malicious files is unique in that these “malicious” files can easily be rejected through including business logic that will scan files during the upload process and reject those perceived as malicious. Additionally, this is different from uploading unexpected files in that while the file type may be accepted the file may still be malicious to the system.
The application may allow the upload of malicious files that include exploits or shellcode without submitting them to malicious file scanning.</t>
        </is>
      </c>
      <c r="D4" s="8" t="inlineStr">
        <is>
          <t>It was observed the file type restriction was implemented for each of the required documents. However, there was no scanning observed to determine if the uploaded file was a malware or with potentially malicious content.</t>
        </is>
      </c>
      <c r="E4" s="25" t="inlineStr">
        <is>
          <t>https://*.cashsouk.com</t>
        </is>
      </c>
      <c r="F4" s="26" t="inlineStr">
        <is>
          <t>- Run the file through an antivirus or a sandbox if available to validate that it doesn't contain malicious data.
- Store the files on a different server. If that's not possible, store them outside of the webroot. In the case of public access to the files, use a handler that gets mapped to filenames inside the application (someid -&gt; file.ext).</t>
        </is>
      </c>
      <c r="G4" s="11" t="inlineStr">
        <is>
          <t>https://cheatsheetseries.owasp.org/cheatsheets/File_Upload_Cheat_Sheet.html</t>
        </is>
      </c>
      <c r="H4" s="17" t="n">
        <v>4.3</v>
      </c>
      <c r="I4" s="17" t="inlineStr">
        <is>
          <t>CVSS:3.1/AV:N/AC:L/PR:L/UI:N/S:U/C:N/I:L/A:N</t>
        </is>
      </c>
      <c r="J4" s="18" t="inlineStr">
        <is>
          <t>Medium</t>
        </is>
      </c>
      <c r="K4" s="30" t="inlineStr">
        <is>
          <t>Closed (Justified)</t>
        </is>
      </c>
      <c r="L4" s="29" t="inlineStr">
        <is>
          <t>21 Sep 2026: Risk accepted by product owner. Uploads remain restricted by expected MIME/type and size, use opaque S3 object references/presigned access, and are stored outside the web root in encrypted S3. Malware scanning (GuardDuty Malware Protection or ClamAV) was not added because it introduces recurring cost and operational complexity. Reassess if threat exposure, regulatory requirements, or upload volume changes.</t>
        </is>
      </c>
    </row>
    <row r="5" ht="395" customHeight="1">
      <c r="A5" s="7">
        <f>ROW()-1</f>
        <v/>
      </c>
      <c r="B5" s="8" t="inlineStr">
        <is>
          <t>Weak Password Policy</t>
        </is>
      </c>
      <c r="C5" s="8" t="inlineStr">
        <is>
          <t>The current password policy implementation is insufficient to enforce secure authentication practices. Specifically, the application does not mandate adequate password complexity, such as a minimum length or a required combination of alphanumeric and special characters. This allows users to create weak passwords, which are significantly more vulnerable to brute force or dictionary-based attacks. A weak password policy can lead to successful password attacks targeting known user accounts within the application, potentially resulting in unauthorized access and compromise of sensitive user data or application functionality.
Additionally, the lack of enforcement against password reuse, and failure to prevent common or easily guessable passwords further weaken the overall password security posture. These gaps collectively increase the likelihood of account compromise and highlight the need for a more robust password policy.</t>
        </is>
      </c>
      <c r="D5" s="8" t="inlineStr">
        <is>
          <t>The password policy should at least contain the symbol and prevent the common passwords.</t>
        </is>
      </c>
      <c r="E5" s="23" t="inlineStr">
        <is>
          <t>https://*.cashsouk.com</t>
        </is>
      </c>
      <c r="F5" s="8" t="inlineStr">
        <is>
          <t>Enhance the current password policy to require passwords to have the following criteria:
- Minimum length of 8 characters
- Contain at least one alphabet, number and symbol
- Not to truncate passwords silently
- Consider to include password strength meter to help users create a more complex password and block common and previously breached passwords
- Keep a record of previously used passwords and prevent users from reusing them during subsequent password changes.
- Restrict the frequency of password changes to a reasonable time interval.
- Prevent users from setting passwords that are commonly used or easily guessable.</t>
        </is>
      </c>
      <c r="G5" s="9" t="inlineStr">
        <is>
          <t>https://cheatsheetseries.owasp.org/cheatsheets/Authentication_Cheat_Sheet.html#implement-proper-password-strength-controls
https://owasp.org/www-project-web-security-testing-guide/latest/4-Web_Application_Security_Testing/04-Authentication_Testing/09-Testing_for_Weak_Password_Change_or_Reset_Functionalities</t>
        </is>
      </c>
      <c r="H5" s="17" t="n">
        <v>3.7</v>
      </c>
      <c r="I5" s="17" t="inlineStr">
        <is>
          <t>CVSS:3.1/AV:N/AC:H/PR:N/UI:N/S:U/C:L/I:N/A:N</t>
        </is>
      </c>
      <c r="J5" s="18" t="inlineStr">
        <is>
          <t>Low</t>
        </is>
      </c>
      <c r="K5" s="28" t="inlineStr">
        <is>
          <t>Closed (Solved)</t>
        </is>
      </c>
      <c r="L5" s="29" t="inlineStr">
        <is>
          <t>21 Sep 2026: Centralized a shared password policy for API and all portal change-password/admin-user forms: minimum 8 characters, upper/lower case, number, a Cognito-supported symbol, and a common-password denylist. Cognito already enforces length/complexity, so the user pool was not changed. Password changes invalidate tokens authenticated at or before password_changed_at using Cognito auth_time, while Cognito global sign-out and explicit refresh-token revocation prevent session renewal.</t>
        </is>
      </c>
    </row>
    <row r="6" ht="409.6" customHeight="1">
      <c r="A6" s="7">
        <f>ROW()-1</f>
        <v/>
      </c>
      <c r="B6" s="8" t="inlineStr">
        <is>
          <t>Clickjacking</t>
        </is>
      </c>
      <c r="C6" s="8" t="inlineStr">
        <is>
          <t>Clickjacking, also known as a “UI redress attack”, is when an attacker uses multiple transparent or opaque layers to trick a user into clicking on a button or link on another page when they intended to click on the top-level page. Thus, the attacker is “hijacking” clicks meant for their page and routing them to another page, most likely owned by another application, domain, or both.
Using a similar technique, keystrokes can also be hijacked. With a carefully crafted combination of stylesheets, iframes, and text boxes, a user can be led to believe they are typing in the password to their email or bank account, but are instead typing into an invisible frame controlled by the attacker.</t>
        </is>
      </c>
      <c r="D6" s="8" t="inlineStr">
        <is>
          <t>The web application could be loaded into a crafted HTML page.</t>
        </is>
      </c>
      <c r="E6" s="23" t="inlineStr">
        <is>
          <t>https://*.cashsouk.com</t>
        </is>
      </c>
      <c r="F6" s="8" t="inlineStr">
        <is>
          <t xml:space="preserve">Consider using Content Security Policy (CSP) frame-ancestors directive response headers that instruct the browser to not allow framing from other domains and employing defensive code in the UI to ensure that current frame is the most top-level window.
</t>
        </is>
      </c>
      <c r="G6" s="10" t="inlineStr">
        <is>
          <t>https://cheatsheetseries.owasp.org/cheatsheets/Clickjacking_Defense_Cheat_Sheet.html</t>
        </is>
      </c>
      <c r="H6" s="17" t="n">
        <v>3.1</v>
      </c>
      <c r="I6" s="17" t="inlineStr">
        <is>
          <t>CVSS:3.1/AV:N/AC:H/PR:N/UI:R/S:U/C:L/I:N/A:N</t>
        </is>
      </c>
      <c r="J6" s="18" t="inlineStr">
        <is>
          <t>Low</t>
        </is>
      </c>
      <c r="K6" s="28" t="inlineStr">
        <is>
          <t>Closed (Solved)</t>
        </is>
      </c>
      <c r="L6" s="29" t="inlineStr">
        <is>
          <t>21 Sep 2026: Added frame-ancestors 'self' to each portal CSP and X-Frame-Options: SAMEORIGIN through the shared portal security-header configuration. API Helmet frameguard is aligned. This blocks framing by unrelated origins while preserving same-origin behavior.</t>
        </is>
      </c>
    </row>
    <row r="7" ht="192" customHeight="1">
      <c r="A7" s="7">
        <f>ROW()-1</f>
        <v/>
      </c>
      <c r="B7" s="8" t="inlineStr">
        <is>
          <t>Multiple Simultaneous Logons Allowed</t>
        </is>
      </c>
      <c r="C7" s="8" t="inlineStr">
        <is>
          <t>The web application allows multiple simultaneous logons from the same user account. It could allowed a risk of attack when the attacker be able to conduct their attack while the user was logged in.</t>
        </is>
      </c>
      <c r="D7" s="8" t="inlineStr">
        <is>
          <t>One user could have 2 logged in sessions concurrently.</t>
        </is>
      </c>
      <c r="E7" s="26" t="inlineStr">
        <is>
          <t>https://*.cashsouk.com</t>
        </is>
      </c>
      <c r="F7" s="8" t="inlineStr">
        <is>
          <t>It is the web application design decision to determine if multiple simultaneous logons from the same user are allowed from the same or from different client IP addresses. If the web application does not want to allow simultaneous session logons, it must take effective actions after each new authentication event, implicitly terminating the previously available session, or asking the user (through the old, new or both sessions) about the session that must remain active.
It is recommended for web applications to add user capabilities that allow checking the details of active sessions at any time, monitor and alert the user about concurrent logons, provide user features to remotely terminate sessions manually, and track account activity history (logbook) by recording multiple client details such as IP address, User-Agent, login date and time, idle time, etc.</t>
        </is>
      </c>
      <c r="G7" s="11" t="inlineStr">
        <is>
          <t>https://cheatsheetseries.owasp.org/cheatsheets/Session_Management_Cheat_Sheet.html#simultaneous-session-logons</t>
        </is>
      </c>
      <c r="H7" s="17" t="n">
        <v>3.1</v>
      </c>
      <c r="I7" s="17" t="inlineStr">
        <is>
          <t>CVSS:3.1/AV:N/AC:H/PR:L/UI:N/S:U/C:L/I:N/A:N</t>
        </is>
      </c>
      <c r="J7" s="18" t="inlineStr">
        <is>
          <t>Low</t>
        </is>
      </c>
      <c r="K7" s="30" t="inlineStr">
        <is>
          <t>Closed (Justified)</t>
        </is>
      </c>
      <c r="L7" s="29" t="inlineStr">
        <is>
          <t>21 Sep 2026: Risk accepted by product owner; legitimate multi-device sessions remain allowed. Cognito access logs/recent-login history provide account activity evidence, and explicit logout revokes the current access JWT plus Cognito refresh sessions. A misleading active-device count was removed because UserSession telemetry is not populated. Session-list/remote-logout UX is deferred unless the business later changes this policy.</t>
        </is>
      </c>
    </row>
    <row r="8" ht="272" customHeight="1">
      <c r="A8" s="7">
        <f>ROW()-1</f>
        <v/>
      </c>
      <c r="B8" s="8" t="inlineStr">
        <is>
          <t>Content-Security-Policy Header Misconfiguration</t>
        </is>
      </c>
      <c r="C8" s="24" t="inlineStr">
        <is>
          <t>Content Security Policy (CSP) header allows to restrict the sources from which resources such as JavaScript, CSS, images, files etc. are loaded. It is an effective defense in depth technique to mitigate the risk of various vulnerabilities, including Cross Site Scripting (XSS) and Clickjacking.</t>
        </is>
      </c>
      <c r="D8" s="26" t="inlineStr">
        <is>
          <t>unsafe-eval' and 'unsafe-inline' were observed in the CSP directive.</t>
        </is>
      </c>
      <c r="E8" s="14" t="inlineStr">
        <is>
          <t>https://*.cashsouk.com</t>
        </is>
      </c>
      <c r="F8" s="24" t="inlineStr">
        <is>
          <t>Remove the use of insecure directives such as 'unsafe-inline', 'unsafe-eval', and 'unsafe-hashes,' as they can make applications vulnerable to security attacks such as XSS and URL injection. These insecure directives may also permit the use of inline scripts or styles, provided they match the specified hashes.</t>
        </is>
      </c>
      <c r="G8" s="12" t="inlineStr">
        <is>
          <t>https://cheatsheetseries.owasp.org/cheatsheets/Content_Security_Policy_Cheat_Sheet.html</t>
        </is>
      </c>
      <c r="H8" s="17" t="n">
        <v>3.1</v>
      </c>
      <c r="I8" s="17" t="inlineStr">
        <is>
          <t>CVSS:3.1/AV:N/AC:H/PR:N/UI:R/S:U/C:L/I:N/A:N</t>
        </is>
      </c>
      <c r="J8" s="18" t="inlineStr">
        <is>
          <t>Low</t>
        </is>
      </c>
      <c r="K8" s="30" t="inlineStr">
        <is>
          <t>Closed (Justified)</t>
        </is>
      </c>
      <c r="L8" s="29" t="inlineStr">
        <is>
          <t>21 Sep 2026: Risk accepted by product owner. unsafe-inline/unsafe-eval are retained for current Next.js, Cognito/Amplify, Curlec, and Plain compatibility; removing them requires a separately tested nonce/hash CSP migration and can break authentication/payment/support flows. Clickjacking is independently closed with frame-ancestors 'self' and SAMEORIGIN. Dynamic email HTML was escaped and other browser security headers were added.</t>
        </is>
      </c>
    </row>
    <row r="9" ht="112" customHeight="1">
      <c r="A9" s="7">
        <f>ROW()-1</f>
        <v/>
      </c>
      <c r="B9" s="8" t="inlineStr">
        <is>
          <t>HTML Injection</t>
        </is>
      </c>
      <c r="C9" s="8" t="inlineStr">
        <is>
          <t>HTML Injection is a type of injection issue that occurs when a user is able to control an input point and is able to inject arbitrary HTML code into a vulnerable web page. This vulnerability can have many consequences, like disclosure of a user's session cookies that could be used to impersonate the victim, or, more generally, it can allow the attacker to modify the page content seen by the victims.</t>
        </is>
      </c>
      <c r="D9" s="8" t="inlineStr">
        <is>
          <t>The injected HTML tag for the invoice number was reflected in the invoice offer email received by the user.
Affected Function:
1. Admin - Generate invoice (injected the invoice number) and send to the user.</t>
        </is>
      </c>
      <c r="E9" s="14" t="inlineStr">
        <is>
          <t>https://admin.cashsouk.com</t>
        </is>
      </c>
      <c r="F9" s="8" t="inlineStr">
        <is>
          <t>Sanitize the user-supplied text by escaping the HTML-syntax substring or metacharacters on all input fields.</t>
        </is>
      </c>
      <c r="G9" s="11" t="inlineStr">
        <is>
          <t>https://cheatsheetseries.owasp.org/cheatsheets/Input_Validation_Cheat_Sheet.html#validating-free-form-unicode-text
​
https://cheatsheetseries.owasp.org/cheatsheets/Cross_Site_Scripting_Prevention_Cheat_Sheet.html#rule-1-html-encode-before-inserting-untrusted-data-into-html-element-content</t>
        </is>
      </c>
      <c r="H9" s="17" t="n">
        <v>2.7</v>
      </c>
      <c r="I9" s="17" t="inlineStr">
        <is>
          <t>CVSS:3.1/AV:N/AC:L/PR:H/UI:N/S:U/C:N/I:L/A:N</t>
        </is>
      </c>
      <c r="J9" s="17" t="inlineStr">
        <is>
          <t>Low</t>
        </is>
      </c>
      <c r="K9" s="28" t="inlineStr">
        <is>
          <t>Closed (Solved)</t>
        </is>
      </c>
      <c r="L9" s="29" t="inlineStr">
        <is>
          <t>21 Sep 2026: Added a centralized HTML-escaping utility and applied contextual escaping to user-controlled/dynamic values in notification, invoice-offer, invitation, onboarding, and related SES email templates, including invoice numbers, names, titles, messages, and URL attributes. Regression tests cover injected markup.</t>
        </is>
      </c>
    </row>
    <row r="10" ht="160" customHeight="1">
      <c r="A10" s="7">
        <f>ROW()-1</f>
        <v/>
      </c>
      <c r="B10" s="8" t="inlineStr">
        <is>
          <t>Missing X-Content-Type-Options Header</t>
        </is>
      </c>
      <c r="C10" s="8" t="inlineStr">
        <is>
          <t>X-Content-Type-Options header is a marker used by the server to indicate that the MIME types advertised in the Content-Type headers should be followed and not be changed, thus it is effective in preventing MIME type sniffing.</t>
        </is>
      </c>
      <c r="D10" s="8" t="inlineStr">
        <is>
          <t>The web application response headers did not include the recommended items.</t>
        </is>
      </c>
      <c r="E10" s="14" t="inlineStr">
        <is>
          <t>https://*.cashsouk.com</t>
        </is>
      </c>
      <c r="F10" s="8" t="inlineStr">
        <is>
          <t>Configure the application server to send the "X-Content-Type-Options" header with value "nosniff" on all outgoing requests.</t>
        </is>
      </c>
      <c r="G10" s="10" t="inlineStr">
        <is>
          <t>https://owasp.org/www-project-secure-headers/#x-content-type-options</t>
        </is>
      </c>
      <c r="H10" s="17" t="n">
        <v>0</v>
      </c>
      <c r="I10" s="17" t="inlineStr">
        <is>
          <t>CVSS:3.1/AV:N/AC:L/PR:N/UI:N/S:U/C:N/I:N/A:N</t>
        </is>
      </c>
      <c r="J10" s="18" t="inlineStr">
        <is>
          <t>Info</t>
        </is>
      </c>
      <c r="K10" s="28" t="inlineStr">
        <is>
          <t>Closed (Solved)</t>
        </is>
      </c>
      <c r="L10" s="29" t="inlineStr">
        <is>
          <t>21 Sep 2026: Added X-Content-Type-Options: nosniff to every portal through the shared security-header helper and aligned API Helmet configuration.</t>
        </is>
      </c>
    </row>
    <row r="11" ht="350" customHeight="1">
      <c r="A11" s="7" t="n"/>
      <c r="B11" s="8" t="inlineStr">
        <is>
          <t>Missing HTTP Strict Transport Security Header</t>
        </is>
      </c>
      <c r="C11" s="8" t="inlineStr">
        <is>
          <t>The HTTP Strict Transport Security (HSTS) header has not been set properly or are missing, allowing information to be passed over unencrypted requests.
In this case, the attacker is able to sniff the network traffic and access the information transferred through an unencrypted channel.</t>
        </is>
      </c>
      <c r="D11" s="8" t="inlineStr">
        <is>
          <t>The web application response headers did not include the recommended items.</t>
        </is>
      </c>
      <c r="E11" s="14" t="inlineStr">
        <is>
          <t>https://*.cashsouk.com</t>
        </is>
      </c>
      <c r="F11" s="8" t="inlineStr">
        <is>
          <t>Ensure that HSTS is set with Strict-Transport-Security with both directives which are max-age and includeSubDomains.</t>
        </is>
      </c>
      <c r="G11" s="10" t="inlineStr">
        <is>
          <t>https://cheatsheetseries.owasp.org/cheatsheets/HTTP_Strict_Transport_Security_Cheat_Sheet.html</t>
        </is>
      </c>
      <c r="H11" s="17" t="n">
        <v>0</v>
      </c>
      <c r="I11" s="17" t="inlineStr">
        <is>
          <t>CVSS:3.1/AV:N/AC:L/PR:N/UI:N/S:U/C:N/I:N/A:N</t>
        </is>
      </c>
      <c r="J11" s="18" t="inlineStr">
        <is>
          <t>Info</t>
        </is>
      </c>
      <c r="K11" s="28" t="inlineStr">
        <is>
          <t>Closed (Solved)</t>
        </is>
      </c>
      <c r="L11" s="29" t="inlineStr">
        <is>
          <t>21 Sep 2026: Added production-only Strict-Transport-Security: max-age=31536000; includeSubDomains to every portal and the API. It is intentionally omitted in local development to avoid pinning localhost to HTTPS.</t>
        </is>
      </c>
    </row>
    <row r="12" ht="144" customHeight="1">
      <c r="A12" s="7" t="n"/>
      <c r="B12" s="8" t="inlineStr">
        <is>
          <t>Missing X-Frame-Options Header</t>
        </is>
      </c>
      <c r="C12" s="8" t="inlineStr">
        <is>
          <t>The X-Frame-Options HTTP response header shows whether or not a web browser should be permitted to render a webpage in a &lt; frame &gt;, &lt; iframe &gt; or &lt; object &gt;. This header helps to stop clickjacking attacks by ensuring that the content is not embedded into other sites. Thus the site cannot ensure that their contents are not embedded in other websites. This vulnerability leads to many attacks like clickjacking.
One of the significant threat includes clickjacking. Clickjacking is a malicious technique of tricking an end-user into clicking on a link. This method will potentially reveal confidential information or an attacker can take control of their computer while clicking on seemingly innocuous web pages.</t>
        </is>
      </c>
      <c r="D12" s="8" t="inlineStr">
        <is>
          <t>The web application response headers did not include the recommended items.</t>
        </is>
      </c>
      <c r="E12" s="14" t="inlineStr">
        <is>
          <t>https://*.cashsouk.com</t>
        </is>
      </c>
      <c r="F12" s="8" t="inlineStr">
        <is>
          <t>Configure the application server to send the "X-Frame-Options" header with value "DENY" or "SAMEORIGIN" on all outgoing requests.</t>
        </is>
      </c>
      <c r="G12" s="10" t="inlineStr">
        <is>
          <t>https://cheatsheetseries.owasp.org/cheatsheets/HTTP_Headers_Cheat_Sheet.html#x-frame-options</t>
        </is>
      </c>
      <c r="H12" s="17" t="n">
        <v>0</v>
      </c>
      <c r="I12" s="17" t="inlineStr">
        <is>
          <t>CVSS:3.1/AV:N/AC:L/PR:N/UI:N/S:U/C:N/I:N/A:N</t>
        </is>
      </c>
      <c r="J12" s="18" t="inlineStr">
        <is>
          <t>Info</t>
        </is>
      </c>
      <c r="K12" s="28" t="inlineStr">
        <is>
          <t>Closed (Solved)</t>
        </is>
      </c>
      <c r="L12" s="29" t="inlineStr">
        <is>
          <t>21 Sep 2026: Added X-Frame-Options: SAMEORIGIN on all portal responses and API Helmet responses. The portal CSP also includes frame-ancestors 'self' as the primary modern control.</t>
        </is>
      </c>
    </row>
  </sheetData>
  <autoFilter ref="A1:L1">
    <sortState ref="A2:L12">
      <sortCondition descending="1" ref="H1:H12"/>
    </sortState>
  </autoFilter>
  <conditionalFormatting sqref="J1:J1048576">
    <cfRule type="cellIs" priority="1" operator="equal" dxfId="7">
      <formula>"Critical"</formula>
    </cfRule>
    <cfRule type="cellIs" priority="2" operator="equal" dxfId="6">
      <formula>"High"</formula>
    </cfRule>
    <cfRule type="cellIs" priority="3" operator="equal" dxfId="5">
      <formula>"Medium"</formula>
    </cfRule>
    <cfRule type="cellIs" priority="4" operator="equal" dxfId="1">
      <formula>"Low"</formula>
    </cfRule>
    <cfRule type="cellIs" priority="5" operator="equal" dxfId="0">
      <formula>"Info"</formula>
    </cfRule>
  </conditionalFormatting>
  <conditionalFormatting sqref="K1:K1048576">
    <cfRule type="cellIs" priority="6" operator="equal" dxfId="2">
      <formula>"Open (Not Solved)"</formula>
    </cfRule>
    <cfRule type="cellIs" priority="8" operator="equal" dxfId="1">
      <formula>"Closed (Solved)"</formula>
    </cfRule>
    <cfRule type="cellIs" priority="9" operator="equal" dxfId="0">
      <formula>"Closed (Justified)"</formula>
    </cfRule>
  </conditionalFormatting>
  <dataValidations count="1">
    <dataValidation sqref="K2:K12" showDropDown="0" showInputMessage="0" showErrorMessage="0" allowBlank="0" type="list">
      <formula1>"Closed (Solved),Closed (Justified),Open (Not Solved)"</formula1>
    </dataValidation>
  </dataValidation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E6"/>
  <sheetViews>
    <sheetView workbookViewId="0">
      <selection activeCell="E8" sqref="E8"/>
    </sheetView>
  </sheetViews>
  <sheetFormatPr baseColWidth="10" defaultColWidth="8.83203125" defaultRowHeight="15"/>
  <cols>
    <col width="13.33203125" bestFit="1" customWidth="1" min="1" max="1"/>
    <col width="25.1640625" bestFit="1" customWidth="1" min="2" max="2"/>
    <col width="22" bestFit="1" customWidth="1" min="4" max="4"/>
    <col width="21.5" bestFit="1" customWidth="1" min="5" max="5"/>
  </cols>
  <sheetData>
    <row r="1">
      <c r="A1" s="4" t="inlineStr">
        <is>
          <t>Severity</t>
        </is>
      </c>
      <c r="B1" s="4" t="inlineStr">
        <is>
          <t>Severity Description</t>
        </is>
      </c>
      <c r="D1" s="4" t="inlineStr">
        <is>
          <t>Resolution</t>
        </is>
      </c>
      <c r="E1" s="4" t="inlineStr">
        <is>
          <t>Resolution Description</t>
        </is>
      </c>
    </row>
    <row r="2">
      <c r="A2" t="inlineStr">
        <is>
          <t>Critical</t>
        </is>
      </c>
      <c r="B2" t="inlineStr">
        <is>
          <t>Immediate Escalation</t>
        </is>
      </c>
      <c r="D2" t="inlineStr">
        <is>
          <t>Closed (Solved)</t>
        </is>
      </c>
      <c r="E2" t="inlineStr">
        <is>
          <t>Fixed</t>
        </is>
      </c>
    </row>
    <row r="3">
      <c r="A3" t="inlineStr">
        <is>
          <t>High</t>
        </is>
      </c>
      <c r="B3" t="inlineStr">
        <is>
          <t>High Severity</t>
        </is>
      </c>
      <c r="D3" t="inlineStr">
        <is>
          <t>Closed (Justified)</t>
        </is>
      </c>
      <c r="E3" t="inlineStr">
        <is>
          <t>Accepted risk with documented compensating controls</t>
        </is>
      </c>
    </row>
    <row r="4">
      <c r="A4" t="inlineStr">
        <is>
          <t>Medium</t>
        </is>
      </c>
      <c r="B4" t="inlineStr">
        <is>
          <t>Medium Severity</t>
        </is>
      </c>
      <c r="D4" t="inlineStr">
        <is>
          <t>Open (Not Solved)</t>
        </is>
      </c>
      <c r="E4" t="inlineStr">
        <is>
          <t>Not fixed</t>
        </is>
      </c>
    </row>
    <row r="5">
      <c r="A5" t="inlineStr">
        <is>
          <t>Low</t>
        </is>
      </c>
      <c r="B5" t="inlineStr">
        <is>
          <t>Low Severity</t>
        </is>
      </c>
    </row>
    <row r="6">
      <c r="A6" t="inlineStr">
        <is>
          <t>Info</t>
        </is>
      </c>
      <c r="B6" t="inlineStr">
        <is>
          <t>Informational Severity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2021-11-12T08:39:48Z</dcterms:created>
  <dcterms:modified xsi:type="dcterms:W3CDTF">2026-09-21T08:58:46Z</dcterms:modified>
  <cp:lastModifiedBy>Ng Yi Xuan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0x01010076EC7B40B3D16546A8B4309C6D9A6BAF</vt:lpwstr>
  </property>
</Properties>
</file>