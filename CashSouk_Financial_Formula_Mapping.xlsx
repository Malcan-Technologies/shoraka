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xr:revisionPtr revIDLastSave="0" documentId="13_ncr:1_{BCDD4F85-BD52-4838-84B2-33CB32973E3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Financial Mapping" sheetId="1" r:id="rId1"/>
  </sheets>
  <calcPr calcId="0"/>
</workbook>
</file>

<file path=xl/sharedStrings.xml><?xml version="1.0" encoding="utf-8"?>
<sst xmlns="http://schemas.openxmlformats.org/spreadsheetml/2006/main" count="205" uniqueCount="111">
  <si>
    <t>CashSouk Financial Figures – Source &amp; Formula Mapping</t>
  </si>
  <si>
    <t>Purpose: show which figures are raw inputs, which are calculated, the source used, and which formulas still need confirmation.</t>
  </si>
  <si>
    <t>Full Financial Figure List</t>
  </si>
  <si>
    <t>Financial Figure</t>
  </si>
  <si>
    <t>Type</t>
  </si>
  <si>
    <t>Source</t>
  </si>
  <si>
    <t>Formula / Current Handling</t>
  </si>
  <si>
    <t>Fixed Assets</t>
  </si>
  <si>
    <t>Raw input</t>
  </si>
  <si>
    <t>Other Assets</t>
  </si>
  <si>
    <t>Current Assets</t>
  </si>
  <si>
    <t>Non-current Assets</t>
  </si>
  <si>
    <t>Total Assets</t>
  </si>
  <si>
    <t>Calculated</t>
  </si>
  <si>
    <t>CTOS, final value only</t>
  </si>
  <si>
    <t>Current issuer formula = sum of asset components</t>
  </si>
  <si>
    <t>Cash &amp; Bank</t>
  </si>
  <si>
    <t>Trade Receivables</t>
  </si>
  <si>
    <t>Current Liabilities</t>
  </si>
  <si>
    <t>Long-term Liabilities</t>
  </si>
  <si>
    <t>Non-current Liabilities</t>
  </si>
  <si>
    <t>Total Liabilities</t>
  </si>
  <si>
    <t>Current issuer formula = sum of liability components</t>
  </si>
  <si>
    <t>Current Borrowings</t>
  </si>
  <si>
    <t>Other Current Liabilities</t>
  </si>
  <si>
    <t>Non-current Loans</t>
  </si>
  <si>
    <t>Other Non-current Liabilities</t>
  </si>
  <si>
    <t>Trade Payables</t>
  </si>
  <si>
    <t>Paid-up Share Capital</t>
  </si>
  <si>
    <t>Share Application Account</t>
  </si>
  <si>
    <t>Share Premium &amp; Other Reserves</t>
  </si>
  <si>
    <t>Accumulated Profit / Loss</t>
  </si>
  <si>
    <t>Equity Minority Interest</t>
  </si>
  <si>
    <t>Total Equity / Net Worth</t>
  </si>
  <si>
    <t>CTOS</t>
  </si>
  <si>
    <t>Total Assets − Total Liabilities</t>
  </si>
  <si>
    <t>Revenue / Turnover</t>
  </si>
  <si>
    <t>Gross Profit</t>
  </si>
  <si>
    <t>EBITDA</t>
  </si>
  <si>
    <t>EBIT</t>
  </si>
  <si>
    <t>Current platform</t>
  </si>
  <si>
    <t>PBT + Interest Cost</t>
  </si>
  <si>
    <t>Profit / Loss Before Tax (PBT)</t>
  </si>
  <si>
    <t>Profit / Loss After Tax (PAT)</t>
  </si>
  <si>
    <t>Net Dividend</t>
  </si>
  <si>
    <t>P&amp;L Minority Interest</t>
  </si>
  <si>
    <t>Profit / Loss of Year</t>
  </si>
  <si>
    <t>Cost of Sales</t>
  </si>
  <si>
    <t>Operating Costs</t>
  </si>
  <si>
    <t>Administrative Costs</t>
  </si>
  <si>
    <t>Interest Costs</t>
  </si>
  <si>
    <t>Other Costs</t>
  </si>
  <si>
    <t>Net Operating Income</t>
  </si>
  <si>
    <t>Operating Cash Flow</t>
  </si>
  <si>
    <t>Free Cash Flow</t>
  </si>
  <si>
    <t>Annual Debt Service</t>
  </si>
  <si>
    <t>Turnover Growth</t>
  </si>
  <si>
    <t>Current issuer formula = (Current Turnover − Previous Turnover) ÷ Previous Turnover × 100</t>
  </si>
  <si>
    <t>Net Profit Margin / PAT Margin</t>
  </si>
  <si>
    <t>PAT ÷ Revenue × 100</t>
  </si>
  <si>
    <t>Current Ratio</t>
  </si>
  <si>
    <t>Current issuer formula = Current Assets ÷ Current Liabilities</t>
  </si>
  <si>
    <t>Quick Ratio</t>
  </si>
  <si>
    <t>SoukScore</t>
  </si>
  <si>
    <t>(Cash &amp; Bank + Trade Receivables) ÷ Current Liabilities</t>
  </si>
  <si>
    <t>Working Capital</t>
  </si>
  <si>
    <t>Current issuer formula = Current Assets − Current Liabilities</t>
  </si>
  <si>
    <t>Return on Equity (ROE)</t>
  </si>
  <si>
    <t>Current issuer formula = PAT ÷ Total Equity × 100</t>
  </si>
  <si>
    <t>Return on Assets (ROA)</t>
  </si>
  <si>
    <t>PAT ÷ Total Assets × 100</t>
  </si>
  <si>
    <t>Asset Turnover</t>
  </si>
  <si>
    <t>Revenue ÷ Total Assets</t>
  </si>
  <si>
    <t>Debt / Equity</t>
  </si>
  <si>
    <t>Total Liabilities ÷ Net Worth</t>
  </si>
  <si>
    <t>Gearing</t>
  </si>
  <si>
    <t>Net Debt / Equity</t>
  </si>
  <si>
    <t>(Current Borrowings + Non-current Loans − Cash &amp; Bank) ÷ Net Worth</t>
  </si>
  <si>
    <t>Interest Coverage</t>
  </si>
  <si>
    <t>EBIT ÷ Interest Expense</t>
  </si>
  <si>
    <t>Receivables Days</t>
  </si>
  <si>
    <t>Average Trade Receivables ÷ Revenue × 365</t>
  </si>
  <si>
    <t>Payables Days</t>
  </si>
  <si>
    <t>Trade Payables ÷ Cost of Sales × 365</t>
  </si>
  <si>
    <t>Debt Service Coverage Ratio (DSCR)</t>
  </si>
  <si>
    <t>Net Operating Income ÷ Total Debt Service</t>
  </si>
  <si>
    <t>Average Trade Receivables</t>
  </si>
  <si>
    <t>(Beginning AR + Ending AR) ÷ 2</t>
  </si>
  <si>
    <t>Follow-up 1: No CTOS or SoukScore Formula Found</t>
  </si>
  <si>
    <t>Metric</t>
  </si>
  <si>
    <t>Current Source</t>
  </si>
  <si>
    <t>Formula Currently Used</t>
  </si>
  <si>
    <t>Follow-up</t>
  </si>
  <si>
    <t>Confirm the intended formula with business/client</t>
  </si>
  <si>
    <t>Follow-up 2: CTOS Provides a Final Value, but Does Not Show the Exact Formula</t>
  </si>
  <si>
    <t>Formula We Currently Use</t>
  </si>
  <si>
    <t>What We Know</t>
  </si>
  <si>
    <t>Client Confirmation</t>
  </si>
  <si>
    <t>Sum of asset components</t>
  </si>
  <si>
    <t>CTOS provides the final value. Real CTOS output matched the component sum, but CTOS does not show the derivation formula.</t>
  </si>
  <si>
    <t>Confirm this is the intended formula.</t>
  </si>
  <si>
    <t>Sum of liability components</t>
  </si>
  <si>
    <t>(Current Turnover − Previous Turnover) ÷ Previous Turnover × 100</t>
  </si>
  <si>
    <t>CTOS provides the final YoY growth value, but the exact CTOS formula is not shown.</t>
  </si>
  <si>
    <t>Current Assets ÷ Current Liabilities</t>
  </si>
  <si>
    <t>CTOS provides the final value. Real CTOS output matched this calculation, but CTOS does not show the formula.</t>
  </si>
  <si>
    <t>Current Assets − Current Liabilities</t>
  </si>
  <si>
    <t>CTOS provides the final value, and related CTOS logic supports this meaning, but the direct formula is not shown for the final field.</t>
  </si>
  <si>
    <t>PAT ÷ Total Equity × 100</t>
  </si>
  <si>
    <t>CTOS provides the final ROE value, but it does not show which equity denominator it uses.</t>
  </si>
  <si>
    <t>Confirm this is the intended ROE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</si>
</sst>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5"/>
      <color rgb="FFFFFFFF"/>
      <name val="Carlito"/>
    </font>
    <font>
      <i/>
      <sz val="11"/>
      <color rgb="FF404040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b/>
      <sz val="11"/>
      <color rgb="FF7F6000"/>
      <name val="Carlito"/>
    </font>
    <font>
      <sz val="11"/>
      <color rgb="FF404040"/>
      <name val="Carlito"/>
    </font>
    <font>
      <b/>
      <sz val="11"/>
      <color rgb="FF1F4E7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7FAFC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7" borderId="0" xfId="0" applyFont="1" applyFill="1" applyAlignment="1">
      <alignment vertical="top" wrapText="1"/>
    </xf>
    <xf numFmtId="0" fontId="4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5" fillId="6" borderId="0" xfId="0" applyFont="1" applyFill="1"/>
    <xf numFmtId="0" fontId="7" fillId="4" borderId="0" xfId="0" applyFont="1" applyFill="1"/>
  </cellXfs>
  <cellStyles count="1">
    <cellStyle name="Normal" xfId="0" builtinId="0"/>
  </cellStyles>
  <dxfs count="5"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ont>
        <b/>
      </font>
      <fill>
        <patternFill>
          <bgColor rgb="FFDDEBF7"/>
        </patternFill>
      </fill>
    </dxf>
    <dxf>
      <fill>
        <patternFill>
          <bgColor rgb="FFEAF2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MappingTable" displayName="FinancialMappingTable" ref="A5:D61" totalsRowShown="0">
  <tableColumns count="4">
    <tableColumn id="1" xr3:uid="{00000000-0010-0000-0000-000001000000}" name="Financial Figure"/>
    <tableColumn id="2" xr3:uid="{00000000-0010-0000-0000-000002000000}" name="Type"/>
    <tableColumn id="3" xr3:uid="{00000000-0010-0000-0000-000003000000}" name="Source"/>
    <tableColumn id="4" xr3:uid="{00000000-0010-0000-0000-000004000000}" name="Formula / Current Handl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22" workbookViewId="0">
      <selection activeCell="E30" sqref="E30"/>
    </sheetView>
  </sheetViews>
  <sheetFormatPr defaultRowHeight="14.15"/>
  <cols>
    <col min="1" max="2" width="34" customWidth="1"/>
    <col min="3" max="3" width="68" customWidth="1"/>
    <col min="4" max="4" width="34" customWidth="1"/>
  </cols>
  <sheetData>
    <row r="1" spans="1:4" ht="17.149999999999999" customHeight="1">
      <c r="A1" s="5" t="s">
        <v>0</v>
      </c>
      <c r="B1" s="5"/>
      <c r="C1" s="5"/>
      <c r="D1" s="5"/>
    </row>
    <row r="2" spans="1:4" ht="17.149999999999999" customHeight="1">
      <c r="A2" s="6" t="s">
        <v>1</v>
      </c>
      <c r="B2" s="6"/>
      <c r="C2" s="6"/>
      <c r="D2" s="6"/>
    </row>
    <row r="4" spans="1:4">
      <c r="A4" s="7" t="s">
        <v>2</v>
      </c>
      <c r="B4" s="7"/>
      <c r="C4" s="7"/>
      <c r="D4" s="7"/>
    </row>
    <row r="5" spans="1:4">
      <c r="A5" s="1" t="s">
        <v>3</v>
      </c>
      <c r="B5" s="1" t="s">
        <v>4</v>
      </c>
      <c r="C5" s="1" t="s">
        <v>5</v>
      </c>
      <c r="D5" s="1" t="s">
        <v>6</v>
      </c>
    </row>
    <row r="6" spans="1:4">
      <c r="A6" s="2" t="s">
        <v>7</v>
      </c>
      <c r="B6" s="2" t="s">
        <v>8</v>
      </c>
      <c r="C6" s="2"/>
      <c r="D6" s="2"/>
    </row>
    <row r="7" spans="1:4">
      <c r="A7" s="2" t="s">
        <v>9</v>
      </c>
      <c r="B7" s="2" t="s">
        <v>8</v>
      </c>
      <c r="C7" s="2"/>
      <c r="D7" s="2"/>
    </row>
    <row r="8" spans="1:4">
      <c r="A8" s="2" t="s">
        <v>10</v>
      </c>
      <c r="B8" s="2" t="s">
        <v>8</v>
      </c>
      <c r="C8" s="2"/>
      <c r="D8" s="2"/>
    </row>
    <row r="9" spans="1:4">
      <c r="A9" s="2" t="s">
        <v>11</v>
      </c>
      <c r="B9" s="2" t="s">
        <v>8</v>
      </c>
      <c r="C9" s="2"/>
      <c r="D9" s="2"/>
    </row>
    <row r="10" spans="1:4" ht="28.3">
      <c r="A10" s="2" t="s">
        <v>12</v>
      </c>
      <c r="B10" s="2" t="s">
        <v>13</v>
      </c>
      <c r="C10" s="2" t="s">
        <v>14</v>
      </c>
      <c r="D10" s="2" t="s">
        <v>15</v>
      </c>
    </row>
    <row r="11" spans="1:4">
      <c r="A11" s="2" t="s">
        <v>16</v>
      </c>
      <c r="B11" s="2" t="s">
        <v>8</v>
      </c>
      <c r="C11" s="2"/>
      <c r="D11" s="2"/>
    </row>
    <row r="12" spans="1:4">
      <c r="A12" s="2" t="s">
        <v>17</v>
      </c>
      <c r="B12" s="2" t="s">
        <v>8</v>
      </c>
      <c r="C12" s="2"/>
      <c r="D12" s="2"/>
    </row>
    <row r="13" spans="1:4">
      <c r="A13" s="2" t="s">
        <v>18</v>
      </c>
      <c r="B13" s="2" t="s">
        <v>8</v>
      </c>
      <c r="C13" s="2"/>
      <c r="D13" s="2"/>
    </row>
    <row r="14" spans="1:4">
      <c r="A14" s="2" t="s">
        <v>19</v>
      </c>
      <c r="B14" s="2" t="s">
        <v>8</v>
      </c>
      <c r="C14" s="2"/>
      <c r="D14" s="2"/>
    </row>
    <row r="15" spans="1:4">
      <c r="A15" s="2" t="s">
        <v>20</v>
      </c>
      <c r="B15" s="2" t="s">
        <v>8</v>
      </c>
      <c r="C15" s="2"/>
      <c r="D15" s="2"/>
    </row>
    <row r="16" spans="1:4" ht="28.3">
      <c r="A16" s="2" t="s">
        <v>21</v>
      </c>
      <c r="B16" s="2" t="s">
        <v>13</v>
      </c>
      <c r="C16" s="2" t="s">
        <v>14</v>
      </c>
      <c r="D16" s="2" t="s">
        <v>22</v>
      </c>
    </row>
    <row r="17" spans="1:4">
      <c r="A17" s="2" t="s">
        <v>23</v>
      </c>
      <c r="B17" s="2" t="s">
        <v>8</v>
      </c>
      <c r="C17" s="2"/>
      <c r="D17" s="2"/>
    </row>
    <row r="18" spans="1:4">
      <c r="A18" s="2" t="s">
        <v>24</v>
      </c>
      <c r="B18" s="2" t="s">
        <v>8</v>
      </c>
      <c r="C18" s="2"/>
      <c r="D18" s="2"/>
    </row>
    <row r="19" spans="1:4">
      <c r="A19" s="2" t="s">
        <v>25</v>
      </c>
      <c r="B19" s="2" t="s">
        <v>8</v>
      </c>
      <c r="C19" s="2"/>
      <c r="D19" s="2"/>
    </row>
    <row r="20" spans="1:4">
      <c r="A20" s="2" t="s">
        <v>26</v>
      </c>
      <c r="B20" s="2" t="s">
        <v>8</v>
      </c>
      <c r="C20" s="2"/>
      <c r="D20" s="2"/>
    </row>
    <row r="21" spans="1:4">
      <c r="A21" s="2" t="s">
        <v>27</v>
      </c>
      <c r="B21" s="2" t="s">
        <v>8</v>
      </c>
      <c r="C21" s="2"/>
      <c r="D21" s="2"/>
    </row>
    <row r="22" spans="1:4">
      <c r="A22" s="2" t="s">
        <v>28</v>
      </c>
      <c r="B22" s="2" t="s">
        <v>8</v>
      </c>
      <c r="C22" s="2"/>
      <c r="D22" s="2"/>
    </row>
    <row r="23" spans="1:4">
      <c r="A23" s="2" t="s">
        <v>29</v>
      </c>
      <c r="B23" s="2" t="s">
        <v>8</v>
      </c>
      <c r="C23" s="2"/>
      <c r="D23" s="2"/>
    </row>
    <row r="24" spans="1:4">
      <c r="A24" s="2" t="s">
        <v>30</v>
      </c>
      <c r="B24" s="2" t="s">
        <v>8</v>
      </c>
      <c r="C24" s="2"/>
      <c r="D24" s="2"/>
    </row>
    <row r="25" spans="1:4">
      <c r="A25" s="2" t="s">
        <v>31</v>
      </c>
      <c r="B25" s="2" t="s">
        <v>8</v>
      </c>
      <c r="C25" s="2"/>
      <c r="D25" s="2"/>
    </row>
    <row r="26" spans="1:4">
      <c r="A26" s="2" t="s">
        <v>32</v>
      </c>
      <c r="B26" s="2" t="s">
        <v>8</v>
      </c>
      <c r="C26" s="2"/>
      <c r="D26" s="2"/>
    </row>
    <row r="27" spans="1:4">
      <c r="A27" s="2" t="s">
        <v>33</v>
      </c>
      <c r="B27" s="2" t="s">
        <v>13</v>
      </c>
      <c r="C27" s="2" t="s">
        <v>34</v>
      </c>
      <c r="D27" s="2" t="s">
        <v>35</v>
      </c>
    </row>
    <row r="28" spans="1:4">
      <c r="A28" s="2" t="s">
        <v>36</v>
      </c>
      <c r="B28" s="2" t="s">
        <v>8</v>
      </c>
      <c r="C28" s="2"/>
      <c r="D28" s="2"/>
    </row>
    <row r="29" spans="1:4">
      <c r="A29" s="2" t="s">
        <v>37</v>
      </c>
      <c r="B29" s="2" t="s">
        <v>8</v>
      </c>
      <c r="C29" s="2"/>
      <c r="D29" s="2"/>
    </row>
    <row r="30" spans="1:4">
      <c r="A30" s="2" t="s">
        <v>38</v>
      </c>
      <c r="B30" s="2" t="s">
        <v>8</v>
      </c>
      <c r="C30" s="2"/>
      <c r="D30" s="2"/>
    </row>
    <row r="31" spans="1:4">
      <c r="A31" s="2" t="s">
        <v>39</v>
      </c>
      <c r="B31" s="2" t="s">
        <v>13</v>
      </c>
      <c r="C31" s="2" t="s">
        <v>40</v>
      </c>
      <c r="D31" s="2" t="s">
        <v>41</v>
      </c>
    </row>
    <row r="32" spans="1:4">
      <c r="A32" s="2" t="s">
        <v>42</v>
      </c>
      <c r="B32" s="2" t="s">
        <v>8</v>
      </c>
      <c r="C32" s="2"/>
      <c r="D32" s="2"/>
    </row>
    <row r="33" spans="1:4">
      <c r="A33" s="2" t="s">
        <v>43</v>
      </c>
      <c r="B33" s="2" t="s">
        <v>8</v>
      </c>
      <c r="C33" s="2"/>
      <c r="D33" s="2"/>
    </row>
    <row r="34" spans="1:4">
      <c r="A34" s="2" t="s">
        <v>44</v>
      </c>
      <c r="B34" s="2" t="s">
        <v>8</v>
      </c>
      <c r="C34" s="2"/>
      <c r="D34" s="2"/>
    </row>
    <row r="35" spans="1:4">
      <c r="A35" s="2" t="s">
        <v>45</v>
      </c>
      <c r="B35" s="2" t="s">
        <v>8</v>
      </c>
      <c r="C35" s="2"/>
      <c r="D35" s="2"/>
    </row>
    <row r="36" spans="1:4">
      <c r="A36" s="2" t="s">
        <v>46</v>
      </c>
      <c r="B36" s="2" t="s">
        <v>8</v>
      </c>
      <c r="C36" s="2"/>
      <c r="D36" s="2"/>
    </row>
    <row r="37" spans="1:4">
      <c r="A37" s="2" t="s">
        <v>47</v>
      </c>
      <c r="B37" s="2" t="s">
        <v>8</v>
      </c>
      <c r="C37" s="2"/>
      <c r="D37" s="2"/>
    </row>
    <row r="38" spans="1:4">
      <c r="A38" s="2" t="s">
        <v>48</v>
      </c>
      <c r="B38" s="2" t="s">
        <v>8</v>
      </c>
      <c r="C38" s="2"/>
      <c r="D38" s="2"/>
    </row>
    <row r="39" spans="1:4">
      <c r="A39" s="2" t="s">
        <v>49</v>
      </c>
      <c r="B39" s="2" t="s">
        <v>8</v>
      </c>
      <c r="C39" s="2"/>
      <c r="D39" s="2"/>
    </row>
    <row r="40" spans="1:4">
      <c r="A40" s="2" t="s">
        <v>50</v>
      </c>
      <c r="B40" s="2" t="s">
        <v>8</v>
      </c>
      <c r="C40" s="2"/>
      <c r="D40" s="2"/>
    </row>
    <row r="41" spans="1:4">
      <c r="A41" s="2" t="s">
        <v>51</v>
      </c>
      <c r="B41" s="2" t="s">
        <v>8</v>
      </c>
      <c r="C41" s="2"/>
      <c r="D41" s="2"/>
    </row>
    <row r="42" spans="1:4">
      <c r="A42" s="2" t="s">
        <v>52</v>
      </c>
      <c r="B42" s="2" t="s">
        <v>8</v>
      </c>
      <c r="C42" s="2"/>
      <c r="D42" s="2"/>
    </row>
    <row r="43" spans="1:4">
      <c r="A43" s="2" t="s">
        <v>53</v>
      </c>
      <c r="B43" s="2" t="s">
        <v>8</v>
      </c>
      <c r="C43" s="2"/>
      <c r="D43" s="2"/>
    </row>
    <row r="44" spans="1:4">
      <c r="A44" s="2" t="s">
        <v>54</v>
      </c>
      <c r="B44" s="2" t="s">
        <v>8</v>
      </c>
      <c r="C44" s="2"/>
      <c r="D44" s="2"/>
    </row>
    <row r="45" spans="1:4">
      <c r="A45" s="2" t="s">
        <v>55</v>
      </c>
      <c r="B45" s="2" t="s">
        <v>8</v>
      </c>
      <c r="C45" s="2"/>
      <c r="D45" s="2"/>
    </row>
    <row r="46" spans="1:4" ht="42.45">
      <c r="A46" s="2" t="s">
        <v>56</v>
      </c>
      <c r="B46" s="2" t="s">
        <v>13</v>
      </c>
      <c r="C46" s="2" t="s">
        <v>14</v>
      </c>
      <c r="D46" s="2" t="s">
        <v>57</v>
      </c>
    </row>
    <row r="47" spans="1:4">
      <c r="A47" s="2" t="s">
        <v>58</v>
      </c>
      <c r="B47" s="2" t="s">
        <v>13</v>
      </c>
      <c r="C47" s="2" t="s">
        <v>34</v>
      </c>
      <c r="D47" s="2" t="s">
        <v>59</v>
      </c>
    </row>
    <row r="48" spans="1:4" ht="28.3">
      <c r="A48" s="2" t="s">
        <v>60</v>
      </c>
      <c r="B48" s="2" t="s">
        <v>13</v>
      </c>
      <c r="C48" s="2" t="s">
        <v>14</v>
      </c>
      <c r="D48" s="2" t="s">
        <v>61</v>
      </c>
    </row>
    <row r="49" spans="1:4" ht="28.3">
      <c r="A49" s="2" t="s">
        <v>62</v>
      </c>
      <c r="B49" s="2" t="s">
        <v>13</v>
      </c>
      <c r="C49" s="2" t="s">
        <v>63</v>
      </c>
      <c r="D49" s="2" t="s">
        <v>64</v>
      </c>
    </row>
    <row r="50" spans="1:4" ht="28.3">
      <c r="A50" s="2" t="s">
        <v>65</v>
      </c>
      <c r="B50" s="2" t="s">
        <v>13</v>
      </c>
      <c r="C50" s="2" t="s">
        <v>14</v>
      </c>
      <c r="D50" s="2" t="s">
        <v>66</v>
      </c>
    </row>
    <row r="51" spans="1:4" ht="28.3">
      <c r="A51" s="2" t="s">
        <v>67</v>
      </c>
      <c r="B51" s="2" t="s">
        <v>13</v>
      </c>
      <c r="C51" s="2" t="s">
        <v>14</v>
      </c>
      <c r="D51" s="2" t="s">
        <v>68</v>
      </c>
    </row>
    <row r="52" spans="1:4">
      <c r="A52" s="2" t="s">
        <v>69</v>
      </c>
      <c r="B52" s="2" t="s">
        <v>13</v>
      </c>
      <c r="C52" s="2" t="s">
        <v>34</v>
      </c>
      <c r="D52" s="2" t="s">
        <v>70</v>
      </c>
    </row>
    <row r="53" spans="1:4">
      <c r="A53" s="2" t="s">
        <v>71</v>
      </c>
      <c r="B53" s="2" t="s">
        <v>13</v>
      </c>
      <c r="C53" s="2" t="s">
        <v>34</v>
      </c>
      <c r="D53" s="2" t="s">
        <v>72</v>
      </c>
    </row>
    <row r="54" spans="1:4">
      <c r="A54" s="2" t="s">
        <v>73</v>
      </c>
      <c r="B54" s="2" t="s">
        <v>13</v>
      </c>
      <c r="C54" s="2" t="s">
        <v>34</v>
      </c>
      <c r="D54" s="2" t="s">
        <v>74</v>
      </c>
    </row>
    <row r="55" spans="1:4">
      <c r="A55" s="2" t="s">
        <v>75</v>
      </c>
      <c r="B55" s="2" t="s">
        <v>13</v>
      </c>
      <c r="C55" s="2" t="s">
        <v>34</v>
      </c>
      <c r="D55" s="2" t="s">
        <v>74</v>
      </c>
    </row>
    <row r="56" spans="1:4" ht="28.3">
      <c r="A56" s="2" t="s">
        <v>76</v>
      </c>
      <c r="B56" s="2" t="s">
        <v>13</v>
      </c>
      <c r="C56" s="2" t="s">
        <v>40</v>
      </c>
      <c r="D56" s="2" t="s">
        <v>77</v>
      </c>
    </row>
    <row r="57" spans="1:4">
      <c r="A57" s="2" t="s">
        <v>78</v>
      </c>
      <c r="B57" s="2" t="s">
        <v>13</v>
      </c>
      <c r="C57" s="2" t="s">
        <v>63</v>
      </c>
      <c r="D57" s="2" t="s">
        <v>79</v>
      </c>
    </row>
    <row r="58" spans="1:4" ht="28.3">
      <c r="A58" s="2" t="s">
        <v>80</v>
      </c>
      <c r="B58" s="2" t="s">
        <v>13</v>
      </c>
      <c r="C58" s="2" t="s">
        <v>63</v>
      </c>
      <c r="D58" s="2" t="s">
        <v>81</v>
      </c>
    </row>
    <row r="59" spans="1:4">
      <c r="A59" s="2" t="s">
        <v>82</v>
      </c>
      <c r="B59" s="2" t="s">
        <v>13</v>
      </c>
      <c r="C59" s="2" t="s">
        <v>40</v>
      </c>
      <c r="D59" s="2" t="s">
        <v>83</v>
      </c>
    </row>
    <row r="60" spans="1:4" ht="28.3">
      <c r="A60" s="2" t="s">
        <v>84</v>
      </c>
      <c r="B60" s="2" t="s">
        <v>13</v>
      </c>
      <c r="C60" s="2" t="s">
        <v>63</v>
      </c>
      <c r="D60" s="2" t="s">
        <v>85</v>
      </c>
    </row>
    <row r="61" spans="1:4">
      <c r="A61" s="2" t="s">
        <v>86</v>
      </c>
      <c r="B61" s="2" t="s">
        <v>13</v>
      </c>
      <c r="C61" s="2" t="s">
        <v>63</v>
      </c>
      <c r="D61" s="2" t="s">
        <v>87</v>
      </c>
    </row>
    <row r="64" spans="1:4">
      <c r="A64" s="8" t="s">
        <v>88</v>
      </c>
      <c r="B64" s="8"/>
      <c r="C64" s="8"/>
      <c r="D64" s="8"/>
    </row>
    <row r="65" spans="1:4">
      <c r="A65" s="1" t="s">
        <v>89</v>
      </c>
      <c r="B65" s="1" t="s">
        <v>90</v>
      </c>
      <c r="C65" s="1" t="s">
        <v>91</v>
      </c>
      <c r="D65" s="1" t="s">
        <v>92</v>
      </c>
    </row>
    <row r="66" spans="1:4" ht="28.3">
      <c r="A66" s="3" t="s">
        <v>39</v>
      </c>
      <c r="B66" s="3" t="s">
        <v>40</v>
      </c>
      <c r="C66" s="3" t="s">
        <v>41</v>
      </c>
      <c r="D66" s="3" t="s">
        <v>93</v>
      </c>
    </row>
    <row r="67" spans="1:4" ht="28.3">
      <c r="A67" s="3" t="s">
        <v>76</v>
      </c>
      <c r="B67" s="3" t="s">
        <v>40</v>
      </c>
      <c r="C67" s="3" t="s">
        <v>77</v>
      </c>
      <c r="D67" s="3" t="s">
        <v>93</v>
      </c>
    </row>
    <row r="68" spans="1:4" ht="28.3">
      <c r="A68" s="3" t="s">
        <v>82</v>
      </c>
      <c r="B68" s="3" t="s">
        <v>40</v>
      </c>
      <c r="C68" s="3" t="s">
        <v>83</v>
      </c>
      <c r="D68" s="3" t="s">
        <v>93</v>
      </c>
    </row>
    <row r="71" spans="1:4">
      <c r="A71" s="9" t="s">
        <v>94</v>
      </c>
      <c r="B71" s="9"/>
      <c r="C71" s="9"/>
      <c r="D71" s="9"/>
    </row>
    <row r="72" spans="1:4">
      <c r="A72" s="4" t="s">
        <v>89</v>
      </c>
      <c r="B72" s="4" t="s">
        <v>95</v>
      </c>
      <c r="C72" s="4" t="s">
        <v>96</v>
      </c>
      <c r="D72" s="4" t="s">
        <v>97</v>
      </c>
    </row>
    <row r="73" spans="1:4" ht="28.3">
      <c r="A73" s="3" t="s">
        <v>12</v>
      </c>
      <c r="B73" s="3" t="s">
        <v>98</v>
      </c>
      <c r="C73" s="3" t="s">
        <v>99</v>
      </c>
      <c r="D73" s="3" t="s">
        <v>100</v>
      </c>
    </row>
    <row r="74" spans="1:4" ht="28.3">
      <c r="A74" s="3" t="s">
        <v>21</v>
      </c>
      <c r="B74" s="3" t="s">
        <v>101</v>
      </c>
      <c r="C74" s="3" t="s">
        <v>99</v>
      </c>
      <c r="D74" s="3" t="s">
        <v>100</v>
      </c>
    </row>
    <row r="75" spans="1:4" ht="28.3">
      <c r="A75" s="3" t="s">
        <v>56</v>
      </c>
      <c r="B75" s="3" t="s">
        <v>102</v>
      </c>
      <c r="C75" s="3" t="s">
        <v>103</v>
      </c>
      <c r="D75" s="3" t="s">
        <v>100</v>
      </c>
    </row>
    <row r="76" spans="1:4" ht="28.3">
      <c r="A76" s="3" t="s">
        <v>60</v>
      </c>
      <c r="B76" s="3" t="s">
        <v>104</v>
      </c>
      <c r="C76" s="3" t="s">
        <v>105</v>
      </c>
      <c r="D76" s="3" t="s">
        <v>100</v>
      </c>
    </row>
    <row r="77" spans="1:4" ht="28.3">
      <c r="A77" s="3" t="s">
        <v>65</v>
      </c>
      <c r="B77" s="3" t="s">
        <v>106</v>
      </c>
      <c r="C77" s="3" t="s">
        <v>107</v>
      </c>
      <c r="D77" s="3" t="s">
        <v>100</v>
      </c>
    </row>
    <row r="78" spans="1:4" ht="28.3">
      <c r="A78" s="3" t="s">
        <v>67</v>
      </c>
      <c r="B78" s="3" t="s">
        <v>108</v>
      </c>
      <c r="C78" s="3" t="s">
        <v>109</v>
      </c>
      <c r="D78" s="3" t="s">
        <v>110</v>
      </c>
    </row>
  </sheetData>
  <mergeCells count="5">
    <mergeCell ref="A1:D1"/>
    <mergeCell ref="A2:D2"/>
    <mergeCell ref="A4:D4"/>
    <mergeCell ref="A64:D64"/>
    <mergeCell ref="A71:D71"/>
  </mergeCells>
  <conditionalFormatting sqref="B6:B61">
    <cfRule type="expression" dxfId="4" priority="1">
      <formula>B6="Raw input"</formula>
    </cfRule>
    <cfRule type="expression" dxfId="3" priority="2">
      <formula>B6="Calculated"</formula>
    </cfRule>
  </conditionalFormatting>
  <conditionalFormatting sqref="C6:C61">
    <cfRule type="expression" dxfId="2" priority="3">
      <formula>LEFT(C6,4)="CTOS"</formula>
    </cfRule>
    <cfRule type="expression" dxfId="1" priority="4">
      <formula>C6="SoukScore"</formula>
    </cfRule>
    <cfRule type="expression" dxfId="0" priority="5">
      <formula>C6="Current platform"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C'hng</cp:lastModifiedBy>
  <dcterms:created xsi:type="dcterms:W3CDTF">2026-09-23T10:13:49Z</dcterms:created>
  <dcterms:modified xsi:type="dcterms:W3CDTF">2026-09-23T10:14:04Z</dcterms:modified>
</cp:coreProperties>
</file>